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2"/>
  </bookViews>
  <sheets>
    <sheet name="Execution Report" sheetId="1" r:id="rId1"/>
    <sheet name="Sheet1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<sst xmlns="http://schemas.openxmlformats.org/spreadsheetml/2006/main" count="136" uniqueCount="70">
  <si>
    <r>
      <rPr>
        <b/>
        <sz val="22"/>
        <color theme="1"/>
        <rFont val="Calibri"/>
        <charset val="134"/>
      </rPr>
      <t xml:space="preserve">QA Status Report </t>
    </r>
    <r>
      <rPr>
        <sz val="22"/>
        <color theme="1"/>
        <rFont val="Calibri"/>
        <charset val="134"/>
      </rPr>
      <t xml:space="preserve"> </t>
    </r>
    <r>
      <rPr>
        <sz val="18"/>
        <color theme="1"/>
        <rFont val="Calibri"/>
        <charset val="134"/>
      </rPr>
      <t>DD/MM/YYYY</t>
    </r>
  </si>
  <si>
    <t>Release ID</t>
  </si>
  <si>
    <t>S.No</t>
  </si>
  <si>
    <t>Story  ID/Description</t>
  </si>
  <si>
    <t>Status</t>
  </si>
  <si>
    <t>Test Case Count</t>
  </si>
  <si>
    <t>23.7.15</t>
  </si>
  <si>
    <t>HAYAT-55/Validate login page</t>
  </si>
  <si>
    <t>Done</t>
  </si>
  <si>
    <t>HAYAT-68/Validate home page</t>
  </si>
  <si>
    <t>HAYAT-145/Validate report page</t>
  </si>
  <si>
    <t>Total</t>
  </si>
  <si>
    <t xml:space="preserve">Test case Status </t>
  </si>
  <si>
    <t>No:  of Test Case</t>
  </si>
  <si>
    <t>Pass</t>
  </si>
  <si>
    <t>Fail</t>
  </si>
  <si>
    <t>In Progress</t>
  </si>
  <si>
    <t>Blocked</t>
  </si>
  <si>
    <t xml:space="preserve">Not Executed </t>
  </si>
  <si>
    <t>Not Applicable</t>
  </si>
  <si>
    <t>Bug Report</t>
  </si>
  <si>
    <t>Sprint #</t>
  </si>
  <si>
    <t>User Story ID</t>
  </si>
  <si>
    <t>Bug ID</t>
  </si>
  <si>
    <t>Bug Summary</t>
  </si>
  <si>
    <t>Severity</t>
  </si>
  <si>
    <t>Priority</t>
  </si>
  <si>
    <t>Workaround</t>
  </si>
  <si>
    <t>Bug Assigned to</t>
  </si>
  <si>
    <t>Bug Reported by</t>
  </si>
  <si>
    <t>Sprint 5</t>
  </si>
  <si>
    <t>TEST - 01</t>
  </si>
  <si>
    <t>HAYAT-177</t>
  </si>
  <si>
    <t>User is not able to click the Login button and is not directed to Home page.</t>
  </si>
  <si>
    <t>high</t>
  </si>
  <si>
    <t>done</t>
  </si>
  <si>
    <t>no</t>
  </si>
  <si>
    <t>Neha</t>
  </si>
  <si>
    <t>Diza</t>
  </si>
  <si>
    <t>HAYAT-200</t>
  </si>
  <si>
    <t>User is redirected to the Home page when clicking the Login button without valid login credentials.</t>
  </si>
  <si>
    <t>HAYAT-202</t>
  </si>
  <si>
    <t>HAYAT-203</t>
  </si>
  <si>
    <t>TEST - 02</t>
  </si>
  <si>
    <t>HAYAT-206</t>
  </si>
  <si>
    <t>User is unable to click the Sign Out button and is not successfully logged out from the application.</t>
  </si>
  <si>
    <t>HAYAT-208</t>
  </si>
  <si>
    <t>User is unable to click the Flag button and view the flags.</t>
  </si>
  <si>
    <t>HAYAT-209</t>
  </si>
  <si>
    <t>User is unable to click the Admin Doe button and is not redirected to profile page</t>
  </si>
  <si>
    <t>HAYAT-210</t>
  </si>
  <si>
    <t>User is unable to click the Report button and is not redirected to Report page</t>
  </si>
  <si>
    <t>HAYAT-213</t>
  </si>
  <si>
    <t>User is unable to click the Setting button and is not redirected to Setting page</t>
  </si>
  <si>
    <t>HAYAT-214</t>
  </si>
  <si>
    <t>User is unable to click the Expense button and is not redirected to Expense page</t>
  </si>
  <si>
    <t>Bug Count</t>
  </si>
  <si>
    <t>Bug Status</t>
  </si>
  <si>
    <t>Showstopper</t>
  </si>
  <si>
    <t>New</t>
  </si>
  <si>
    <t>Critical</t>
  </si>
  <si>
    <t>Active</t>
  </si>
  <si>
    <t>Major</t>
  </si>
  <si>
    <t>Ready to Test</t>
  </si>
  <si>
    <t>High</t>
  </si>
  <si>
    <t>Closed</t>
  </si>
  <si>
    <t>Low</t>
  </si>
  <si>
    <t>Re-Open</t>
  </si>
  <si>
    <t>Total Bugs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</si>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</sst>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rgb="FF000000"/>
      <name val="Arial"/>
      <charset val="134"/>
      <scheme val="minor"/>
    </font>
    <font>
      <b/>
      <sz val="14"/>
      <color theme="1"/>
      <name val="Calibri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292A2E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Arial"/>
      <charset val="134"/>
    </font>
    <font>
      <sz val="22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22"/>
      <color theme="1"/>
      <name val="Calibri"/>
      <charset val="134"/>
    </font>
    <font>
      <sz val="18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8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0" xfId="0" applyFont="1" applyAlignment="1">
      <alignment horizontal="center"/>
    </xf>
    <xf numFmtId="0" fontId="4" fillId="2" borderId="4" xfId="0" applyFont="1" applyFill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6" fillId="0" borderId="4" xfId="0" applyFont="1" applyBorder="1"/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/>
    <xf numFmtId="0" fontId="7" fillId="0" borderId="0" xfId="0" applyFont="1" applyAlignment="1">
      <alignment wrapText="1"/>
    </xf>
    <xf numFmtId="0" fontId="2" fillId="0" borderId="10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3" xfId="0" applyFont="1" applyBorder="1"/>
    <xf numFmtId="0" fontId="5" fillId="0" borderId="0" xfId="0" applyFont="1" applyAlignment="1">
      <alignment horizontal="center" vertical="top"/>
    </xf>
    <xf numFmtId="0" fontId="8" fillId="0" borderId="6" xfId="0" applyFont="1" applyBorder="1" applyAlignment="1"/>
    <xf numFmtId="0" fontId="8" fillId="0" borderId="0" xfId="0" applyFont="1" applyAlignment="1">
      <alignment wrapText="1"/>
    </xf>
    <xf numFmtId="0" fontId="8" fillId="0" borderId="6" xfId="0" applyFont="1" applyBorder="1" applyAlignment="1"/>
    <xf numFmtId="0" fontId="8" fillId="0" borderId="6" xfId="0" applyFont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9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1" xfId="0" applyFont="1" applyFill="1" applyBorder="1"/>
    <xf numFmtId="0" fontId="11" fillId="4" borderId="10" xfId="0" applyFont="1" applyFill="1" applyBorder="1"/>
    <xf numFmtId="0" fontId="4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6" xfId="0" applyFont="1" applyBorder="1" applyAlignment="1"/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2" fillId="0" borderId="13" xfId="0" applyFont="1" applyBorder="1" applyAlignment="1"/>
    <xf numFmtId="0" fontId="2" fillId="0" borderId="14" xfId="0" applyFont="1" applyBorder="1" applyAlignment="1"/>
    <xf numFmtId="0" fontId="3" fillId="0" borderId="4" xfId="0" applyFont="1" applyBorder="1"/>
    <xf numFmtId="0" fontId="4" fillId="2" borderId="14" xfId="0" applyFont="1" applyFill="1" applyBorder="1"/>
    <xf numFmtId="0" fontId="12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Bug Report-style" pivot="0" count="3" xr9:uid="{11002695-3D82-4E66-B042-69BA2980AC0C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rgbClr val="757575"/>
                </a:solidFill>
                <a:latin typeface="+mn-lt"/>
              </a:rPr>
              <a:t>Project Name - Release Name</a:t>
            </a:r>
            <a:endParaRPr lang="en-US" sz="1800" b="1" i="0">
              <a:solidFill>
                <a:srgbClr val="757575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293652598238054"/>
          <c:y val="0.0500001176982922"/>
        </c:manualLayout>
      </c:layout>
      <c:overlay val="0"/>
    </c:title>
    <c:autoTitleDeleted val="0"/>
    <c:plotArea>
      <c:layout>
        <c:manualLayout>
          <c:xMode val="edge"/>
          <c:yMode val="edge"/>
          <c:x val="0.115234232084626"/>
          <c:y val="0.16965620328849"/>
          <c:w val="0.581580510992276"/>
          <c:h val="0.731539611360239"/>
        </c:manualLayout>
      </c:layout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Pt>
            <c:idx val="5"/>
            <c:bubble3D val="0"/>
            <c:spPr>
              <a:solidFill>
                <a:srgbClr val="46BDC6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'Execution Report'!$B$15:$B$20</c:f>
              <c:strCache>
                <c:ptCount val="6"/>
                <c:pt idx="0">
                  <c:v>Pass</c:v>
                </c:pt>
                <c:pt idx="1">
                  <c:v>Fail</c:v>
                </c:pt>
                <c:pt idx="2">
                  <c:v>In Progress</c:v>
                </c:pt>
                <c:pt idx="3">
                  <c:v>Blocked</c:v>
                </c:pt>
                <c:pt idx="4">
                  <c:v>Not Executed </c:v>
                </c:pt>
                <c:pt idx="5">
                  <c:v>Not Applicable</c:v>
                </c:pt>
              </c:strCache>
            </c:strRef>
          </c:cat>
          <c:val>
            <c:numRef>
              <c:f>'Execution Report'!$C$15:$C$20</c:f>
              <c:numCache>
                <c:formatCode>General</c:formatCode>
                <c:ptCount val="6"/>
                <c:pt idx="0">
                  <c:v>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54d3ba4-3896-42bc-91b9-d5fec643c0bc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228781546537452"/>
          <c:y val="0.133457482339129"/>
          <c:w val="0.547565313951141"/>
          <c:h val="0.731963915821576"/>
        </c:manualLayout>
      </c:layout>
      <c:pieChart>
        <c:varyColors val="1"/>
        <c:ser>
          <c:idx val="0"/>
          <c:order val="0"/>
          <c:tx>
            <c:strRef>
              <c:f>'Bug Report'!$B$14</c:f>
              <c:strCache>
                <c:ptCount val="1"/>
                <c:pt idx="0">
                  <c:v>Bug Count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00B050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FF0000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'Bug Report'!$A$15:$A$19</c:f>
              <c:strCache>
                <c:ptCount val="5"/>
                <c:pt idx="0">
                  <c:v>Showstopper</c:v>
                </c:pt>
                <c:pt idx="1">
                  <c:v>Critical</c:v>
                </c:pt>
                <c:pt idx="2">
                  <c:v>Major</c:v>
                </c:pt>
                <c:pt idx="3">
                  <c:v>High</c:v>
                </c:pt>
                <c:pt idx="4">
                  <c:v>Low</c:v>
                </c:pt>
              </c:strCache>
            </c:strRef>
          </c:cat>
          <c:val>
            <c:numRef>
              <c:f>'Bug Report'!$B$15:$B$19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40e2cff-d7d7-4cd2-8844-8d7cf556077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Bug Status</a:t>
            </a:r>
            <a:endParaRPr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'Bug Report'!$H$14</c:f>
              <c:strCache>
                <c:ptCount val="1"/>
                <c:pt idx="0">
                  <c:v>Bug Count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'Bug Report'!$G$15:$G$20</c:f>
              <c:strCache>
                <c:ptCount val="6"/>
                <c:pt idx="0">
                  <c:v>New</c:v>
                </c:pt>
                <c:pt idx="1">
                  <c:v>Active</c:v>
                </c:pt>
                <c:pt idx="2">
                  <c:v>Ready to Test</c:v>
                </c:pt>
                <c:pt idx="3">
                  <c:v>Closed</c:v>
                </c:pt>
                <c:pt idx="4">
                  <c:v>Re-Open</c:v>
                </c:pt>
                <c:pt idx="5">
                  <c:v>Rejected</c:v>
                </c:pt>
              </c:strCache>
            </c:strRef>
          </c:cat>
          <c:val>
            <c:numRef>
              <c:f>'Bug Report'!$H$15:$H$20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f248921b-1959-4035-b187-c84858959d1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523875</xdr:colOff>
      <xdr:row>4</xdr:row>
      <xdr:rowOff>228600</xdr:rowOff>
    </xdr:from>
    <xdr:ext cx="5343525" cy="4248150"/>
    <xdr:graphicFrame>
      <xdr:nvGraphicFramePr>
        <xdr:cNvPr id="1661263511" name="Chart 1" title="Chart"/>
        <xdr:cNvGraphicFramePr/>
      </xdr:nvGraphicFramePr>
      <xdr:xfrm>
        <a:off x="8505825" y="952500"/>
        <a:ext cx="5343525" cy="4248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66675</xdr:rowOff>
    </xdr:from>
    <xdr:ext cx="1543050" cy="866775"/>
    <xdr:pic>
      <xdr:nvPicPr>
        <xdr:cNvPr id="2" name="image1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42950" y="66675"/>
          <a:ext cx="1543050" cy="866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228600</xdr:colOff>
      <xdr:row>12</xdr:row>
      <xdr:rowOff>161925</xdr:rowOff>
    </xdr:from>
    <xdr:ext cx="4953000" cy="3667125"/>
    <xdr:graphicFrame>
      <xdr:nvGraphicFramePr>
        <xdr:cNvPr id="1310659677" name="Chart 2"/>
        <xdr:cNvGraphicFramePr/>
      </xdr:nvGraphicFramePr>
      <xdr:xfrm>
        <a:off x="2219325" y="2362200"/>
        <a:ext cx="4953000" cy="3667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161925</xdr:colOff>
      <xdr:row>12</xdr:row>
      <xdr:rowOff>142875</xdr:rowOff>
    </xdr:from>
    <xdr:ext cx="4933950" cy="3876675"/>
    <xdr:graphicFrame>
      <xdr:nvGraphicFramePr>
        <xdr:cNvPr id="2073071614" name="Chart 3"/>
        <xdr:cNvGraphicFramePr/>
      </xdr:nvGraphicFramePr>
      <xdr:xfrm>
        <a:off x="9725025" y="2343150"/>
        <a:ext cx="493395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2:K2" headerRowCount="0">
  <tableColumns count="11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</tableColumns>
  <tableStyleInfo name="Bug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89"/>
  <sheetViews>
    <sheetView workbookViewId="0">
      <selection activeCell="C20" sqref="C20"/>
    </sheetView>
  </sheetViews>
  <sheetFormatPr defaultColWidth="12.625" defaultRowHeight="15" customHeight="1"/>
  <cols>
    <col min="1" max="1" width="8.75" customWidth="1"/>
    <col min="2" max="2" width="24.625" customWidth="1"/>
    <col min="3" max="3" width="13.125" customWidth="1"/>
    <col min="4" max="4" width="24.625" customWidth="1"/>
    <col min="5" max="5" width="14.5" customWidth="1"/>
    <col min="6" max="6" width="19.125" customWidth="1"/>
    <col min="7" max="22" width="14.375" customWidth="1"/>
  </cols>
  <sheetData>
    <row r="1" ht="14.25" customHeight="1" spans="1:12">
      <c r="A1" s="4"/>
      <c r="B1" s="4"/>
    </row>
    <row r="2" ht="14.25" customHeight="1"/>
    <row r="3" ht="14.25" customHeight="1"/>
    <row r="4" ht="14.25" customHeight="1"/>
    <row r="5" ht="22.5" customHeight="1"/>
    <row r="6" ht="24.75" customHeight="1" spans="1:12">
      <c r="B6" s="29" t="s">
        <v>0</v>
      </c>
      <c r="C6" s="2"/>
      <c r="D6" s="2"/>
      <c r="E6" s="2"/>
      <c r="F6" s="3"/>
      <c r="G6" s="30"/>
      <c r="H6" s="30"/>
      <c r="I6" s="30"/>
      <c r="J6" s="30"/>
      <c r="K6" s="30"/>
      <c r="L6" s="31"/>
    </row>
    <row r="7" ht="16.5" customHeight="1" spans="1:12">
      <c r="B7" s="5" t="s">
        <v>1</v>
      </c>
      <c r="C7" s="32" t="s">
        <v>2</v>
      </c>
      <c r="D7" s="32" t="s">
        <v>3</v>
      </c>
      <c r="E7" s="32" t="s">
        <v>4</v>
      </c>
      <c r="F7" s="32" t="s">
        <v>5</v>
      </c>
      <c r="G7" s="33"/>
      <c r="H7" s="34"/>
      <c r="I7" s="34"/>
      <c r="J7" s="34"/>
      <c r="K7" s="34"/>
      <c r="L7" s="34"/>
    </row>
    <row r="8" ht="14.25" customHeight="1" spans="1:12">
      <c r="B8" s="35" t="s">
        <v>6</v>
      </c>
      <c r="C8" s="27">
        <v>1</v>
      </c>
      <c r="D8" s="36" t="s">
        <v>7</v>
      </c>
      <c r="E8" s="36" t="s">
        <v>8</v>
      </c>
      <c r="F8" s="27">
        <v>4</v>
      </c>
    </row>
    <row r="9" ht="14.25" customHeight="1" spans="1:12">
      <c r="B9" s="37"/>
      <c r="C9" s="27">
        <v>2</v>
      </c>
      <c r="D9" s="36" t="s">
        <v>9</v>
      </c>
      <c r="E9" s="36" t="s">
        <v>8</v>
      </c>
      <c r="F9" s="27">
        <v>26</v>
      </c>
    </row>
    <row r="10" ht="14.25" customHeight="1" spans="1:12">
      <c r="B10" s="37"/>
      <c r="C10" s="27">
        <v>3</v>
      </c>
      <c r="D10" s="36" t="s">
        <v>10</v>
      </c>
      <c r="E10" s="36" t="s">
        <v>8</v>
      </c>
      <c r="F10" s="27">
        <v>25</v>
      </c>
    </row>
    <row r="11" ht="14.25" customHeight="1" spans="1:12">
      <c r="B11" s="37"/>
      <c r="C11" s="27"/>
      <c r="D11" s="36"/>
      <c r="E11" s="36"/>
      <c r="F11" s="27"/>
    </row>
    <row r="12" ht="14.25" customHeight="1" spans="1:12">
      <c r="B12" s="38"/>
      <c r="C12" s="27"/>
      <c r="D12" s="36"/>
      <c r="E12" s="36"/>
      <c r="F12" s="27"/>
    </row>
    <row r="13" ht="14.25" customHeight="1" spans="1:12">
      <c r="B13" s="39"/>
      <c r="C13" s="39"/>
      <c r="D13" s="39"/>
      <c r="E13" s="26" t="s">
        <v>11</v>
      </c>
      <c r="F13" s="28">
        <f>F8+F9+F10+F11+F12</f>
        <v>55</v>
      </c>
    </row>
    <row r="14" ht="14.25" customHeight="1" spans="1:12">
      <c r="B14" s="40" t="s">
        <v>12</v>
      </c>
      <c r="C14" s="40" t="s">
        <v>13</v>
      </c>
      <c r="D14" s="4"/>
    </row>
    <row r="15" ht="14.25" customHeight="1" spans="1:12">
      <c r="B15" s="41" t="s">
        <v>14</v>
      </c>
      <c r="C15" s="42">
        <v>55</v>
      </c>
    </row>
    <row r="16" ht="14.25" customHeight="1" spans="1:12">
      <c r="B16" s="41" t="s">
        <v>15</v>
      </c>
      <c r="C16" s="42">
        <v>0</v>
      </c>
    </row>
    <row r="17" ht="14.25" customHeight="1" spans="1:3">
      <c r="B17" s="41" t="s">
        <v>16</v>
      </c>
      <c r="C17" s="42">
        <v>0</v>
      </c>
    </row>
    <row r="18" ht="14.25" customHeight="1" spans="1:3">
      <c r="B18" s="41" t="s">
        <v>17</v>
      </c>
      <c r="C18" s="42">
        <v>0</v>
      </c>
    </row>
    <row r="19" ht="14.25" customHeight="1" spans="1:3">
      <c r="B19" s="41" t="s">
        <v>18</v>
      </c>
      <c r="C19" s="42">
        <v>0</v>
      </c>
    </row>
    <row r="20" ht="14.25" customHeight="1" spans="1:3">
      <c r="B20" s="41" t="s">
        <v>19</v>
      </c>
      <c r="C20" s="42">
        <v>0</v>
      </c>
    </row>
    <row r="21" ht="14.25" customHeight="1" spans="1:3">
      <c r="B21" s="43" t="s">
        <v>11</v>
      </c>
      <c r="C21" s="44">
        <f>SUM(C15:C20)</f>
        <v>55</v>
      </c>
    </row>
    <row r="22" ht="94.5" customHeight="1" spans="1:3">
      <c r="A22" s="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7">
    <mergeCell ref="B6:F6"/>
    <mergeCell ref="A1:A21"/>
    <mergeCell ref="B8:B12"/>
    <mergeCell ref="A22:V46"/>
    <mergeCell ref="B1:L5"/>
    <mergeCell ref="G7:L13"/>
    <mergeCell ref="D14:L21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5" defaultRowHeight="15" customHeight="1"/>
  <sheetData/>
  <pageMargins left="0" right="0" top="0" bottom="0" header="0" footer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6"/>
  <sheetViews>
    <sheetView tabSelected="1" workbookViewId="0">
      <selection activeCell="H21" sqref="H21"/>
    </sheetView>
  </sheetViews>
  <sheetFormatPr defaultColWidth="12.625" defaultRowHeight="15" customHeight="1"/>
  <cols>
    <col min="1" max="1" width="12.875" customWidth="1"/>
    <col min="2" max="2" width="13.25" customWidth="1"/>
    <col min="3" max="3" width="13.125" customWidth="1"/>
    <col min="4" max="4" width="14.625" customWidth="1"/>
    <col min="5" max="5" width="31.125" customWidth="1"/>
    <col min="6" max="6" width="13.625" customWidth="1"/>
    <col min="7" max="7" width="14.5" customWidth="1"/>
    <col min="8" max="8" width="12.375" customWidth="1"/>
    <col min="9" max="9" width="10.875" customWidth="1"/>
    <col min="10" max="10" width="17.375" customWidth="1"/>
    <col min="11" max="11" width="17.5" customWidth="1"/>
  </cols>
  <sheetData>
    <row r="1" ht="16.5" customHeight="1" spans="1:12">
      <c r="A1" s="1" t="s">
        <v>20</v>
      </c>
      <c r="B1" s="2"/>
      <c r="C1" s="2"/>
      <c r="D1" s="2"/>
      <c r="E1" s="2"/>
      <c r="F1" s="2"/>
      <c r="G1" s="3"/>
      <c r="L1" s="4"/>
    </row>
    <row r="2" ht="14.25" customHeight="1" spans="1:12">
      <c r="A2" s="5" t="s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4</v>
      </c>
      <c r="I2" s="5" t="s">
        <v>27</v>
      </c>
      <c r="J2" s="5" t="s">
        <v>28</v>
      </c>
      <c r="K2" s="5" t="s">
        <v>29</v>
      </c>
    </row>
    <row r="3" ht="14.25" customHeight="1" spans="1:12">
      <c r="A3" s="6" t="s">
        <v>6</v>
      </c>
      <c r="B3" s="7" t="s">
        <v>30</v>
      </c>
      <c r="C3" s="8" t="s">
        <v>31</v>
      </c>
      <c r="D3" s="9" t="s">
        <v>32</v>
      </c>
      <c r="E3" s="10" t="s">
        <v>33</v>
      </c>
      <c r="F3" s="10" t="s">
        <v>34</v>
      </c>
      <c r="G3" s="9" t="s">
        <v>34</v>
      </c>
      <c r="H3" s="11" t="s">
        <v>35</v>
      </c>
      <c r="I3" s="11" t="s">
        <v>36</v>
      </c>
      <c r="J3" s="11" t="s">
        <v>37</v>
      </c>
      <c r="K3" s="11" t="s">
        <v>38</v>
      </c>
    </row>
    <row r="4" ht="14.25" customHeight="1" spans="1:12">
      <c r="A4" s="12"/>
      <c r="B4" s="13"/>
      <c r="C4" s="14"/>
      <c r="D4" s="9" t="s">
        <v>39</v>
      </c>
      <c r="E4" s="15" t="s">
        <v>40</v>
      </c>
      <c r="F4" s="9" t="s">
        <v>34</v>
      </c>
      <c r="G4" s="9" t="s">
        <v>34</v>
      </c>
      <c r="H4" s="11" t="s">
        <v>35</v>
      </c>
      <c r="I4" s="11" t="s">
        <v>36</v>
      </c>
      <c r="J4" s="11" t="s">
        <v>37</v>
      </c>
      <c r="K4" s="11" t="s">
        <v>38</v>
      </c>
    </row>
    <row r="5" ht="14.25" customHeight="1" spans="1:12">
      <c r="A5" s="12"/>
      <c r="B5" s="13"/>
      <c r="C5" s="14"/>
      <c r="D5" s="9" t="s">
        <v>41</v>
      </c>
      <c r="E5" s="15" t="s">
        <v>40</v>
      </c>
      <c r="F5" s="9" t="s">
        <v>34</v>
      </c>
      <c r="G5" s="9" t="s">
        <v>34</v>
      </c>
      <c r="H5" s="11" t="s">
        <v>35</v>
      </c>
      <c r="I5" s="11" t="s">
        <v>36</v>
      </c>
      <c r="J5" s="11" t="s">
        <v>37</v>
      </c>
      <c r="K5" s="11" t="s">
        <v>38</v>
      </c>
    </row>
    <row r="6" ht="14.25" customHeight="1" spans="1:12">
      <c r="A6" s="12"/>
      <c r="B6" s="13"/>
      <c r="C6" s="16"/>
      <c r="D6" s="9" t="s">
        <v>42</v>
      </c>
      <c r="E6" s="15" t="s">
        <v>40</v>
      </c>
      <c r="F6" s="9" t="s">
        <v>34</v>
      </c>
      <c r="G6" s="9" t="s">
        <v>34</v>
      </c>
      <c r="H6" s="11" t="s">
        <v>35</v>
      </c>
      <c r="I6" s="11" t="s">
        <v>36</v>
      </c>
      <c r="J6" s="11" t="s">
        <v>37</v>
      </c>
      <c r="K6" s="11" t="s">
        <v>38</v>
      </c>
    </row>
    <row r="7" ht="14.25" customHeight="1" spans="1:12">
      <c r="A7" s="12"/>
      <c r="B7" s="13"/>
      <c r="C7" s="17" t="s">
        <v>43</v>
      </c>
      <c r="D7" s="18" t="s">
        <v>44</v>
      </c>
      <c r="E7" s="10" t="s">
        <v>45</v>
      </c>
      <c r="F7" s="9" t="s">
        <v>34</v>
      </c>
      <c r="G7" s="9" t="s">
        <v>34</v>
      </c>
      <c r="H7" s="11" t="s">
        <v>35</v>
      </c>
      <c r="I7" s="11" t="s">
        <v>36</v>
      </c>
      <c r="J7" s="11" t="s">
        <v>37</v>
      </c>
      <c r="K7" s="11" t="s">
        <v>38</v>
      </c>
    </row>
    <row r="8" ht="14.25" customHeight="1" spans="1:12">
      <c r="A8" s="12"/>
      <c r="B8" s="13"/>
      <c r="C8" s="19"/>
      <c r="D8" s="18" t="s">
        <v>46</v>
      </c>
      <c r="E8" s="15" t="s">
        <v>47</v>
      </c>
      <c r="F8" s="9" t="s">
        <v>34</v>
      </c>
      <c r="G8" s="9" t="s">
        <v>34</v>
      </c>
      <c r="H8" s="11" t="s">
        <v>35</v>
      </c>
      <c r="I8" s="11" t="s">
        <v>36</v>
      </c>
      <c r="J8" s="11" t="s">
        <v>37</v>
      </c>
      <c r="K8" s="11" t="s">
        <v>38</v>
      </c>
    </row>
    <row r="9" ht="14.25" customHeight="1" spans="1:12">
      <c r="A9" s="12"/>
      <c r="B9" s="13"/>
      <c r="C9" s="19"/>
      <c r="D9" s="20" t="s">
        <v>48</v>
      </c>
      <c r="E9" s="21" t="s">
        <v>49</v>
      </c>
      <c r="F9" s="20" t="s">
        <v>34</v>
      </c>
      <c r="G9" s="20" t="s">
        <v>34</v>
      </c>
      <c r="H9" s="20" t="s">
        <v>35</v>
      </c>
      <c r="I9" s="11" t="s">
        <v>36</v>
      </c>
      <c r="J9" s="11" t="s">
        <v>37</v>
      </c>
      <c r="K9" s="11" t="s">
        <v>38</v>
      </c>
    </row>
    <row r="10" ht="14.25" customHeight="1" spans="1:12">
      <c r="A10" s="12"/>
      <c r="B10" s="13"/>
      <c r="C10" s="19"/>
      <c r="D10" s="22" t="s">
        <v>50</v>
      </c>
      <c r="E10" s="23" t="s">
        <v>51</v>
      </c>
      <c r="F10" s="22" t="s">
        <v>34</v>
      </c>
      <c r="G10" s="22" t="s">
        <v>34</v>
      </c>
      <c r="H10" s="22" t="s">
        <v>35</v>
      </c>
      <c r="I10" s="11" t="s">
        <v>36</v>
      </c>
      <c r="J10" s="11" t="s">
        <v>37</v>
      </c>
      <c r="K10" s="11" t="s">
        <v>38</v>
      </c>
    </row>
    <row r="11" ht="14.25" customHeight="1" spans="1:12">
      <c r="A11" s="12"/>
      <c r="B11" s="13"/>
      <c r="C11" s="19"/>
      <c r="D11" s="24" t="s">
        <v>52</v>
      </c>
      <c r="E11" s="25" t="s">
        <v>53</v>
      </c>
      <c r="F11" s="24" t="s">
        <v>34</v>
      </c>
      <c r="G11" s="24" t="s">
        <v>34</v>
      </c>
      <c r="H11" s="24" t="s">
        <v>35</v>
      </c>
      <c r="I11" s="11" t="s">
        <v>36</v>
      </c>
      <c r="J11" s="11" t="s">
        <v>37</v>
      </c>
      <c r="K11" s="11" t="s">
        <v>38</v>
      </c>
    </row>
    <row r="12" ht="14.25" customHeight="1" spans="1:12">
      <c r="A12" s="12"/>
      <c r="B12" s="13"/>
      <c r="C12" s="19"/>
      <c r="D12" s="24" t="s">
        <v>54</v>
      </c>
      <c r="E12" s="25" t="s">
        <v>55</v>
      </c>
      <c r="F12" s="24" t="s">
        <v>34</v>
      </c>
      <c r="G12" s="24" t="s">
        <v>34</v>
      </c>
      <c r="H12" s="24" t="s">
        <v>35</v>
      </c>
      <c r="I12" s="11" t="s">
        <v>36</v>
      </c>
      <c r="J12" s="11" t="s">
        <v>37</v>
      </c>
      <c r="K12" s="11" t="s">
        <v>38</v>
      </c>
    </row>
    <row r="13" ht="14.25" customHeight="1"/>
    <row r="14" ht="15.75" customHeight="1" spans="1:12">
      <c r="A14" s="5" t="s">
        <v>25</v>
      </c>
      <c r="B14" s="5" t="s">
        <v>56</v>
      </c>
      <c r="C14" s="4"/>
      <c r="F14" s="14"/>
      <c r="G14" s="5" t="s">
        <v>57</v>
      </c>
      <c r="H14" s="5" t="s">
        <v>56</v>
      </c>
    </row>
    <row r="15" ht="14.25" customHeight="1" spans="1:12">
      <c r="A15" s="26" t="s">
        <v>58</v>
      </c>
      <c r="B15" s="27">
        <v>0</v>
      </c>
      <c r="F15" s="14"/>
      <c r="G15" s="26" t="s">
        <v>59</v>
      </c>
      <c r="H15" s="27">
        <v>0</v>
      </c>
    </row>
    <row r="16" ht="14.25" customHeight="1" spans="1:12">
      <c r="A16" s="26" t="s">
        <v>60</v>
      </c>
      <c r="B16" s="27">
        <v>0</v>
      </c>
      <c r="F16" s="14"/>
      <c r="G16" s="26" t="s">
        <v>61</v>
      </c>
      <c r="H16" s="27">
        <v>0</v>
      </c>
    </row>
    <row r="17" ht="14.25" customHeight="1" spans="1:8">
      <c r="A17" s="26" t="s">
        <v>62</v>
      </c>
      <c r="B17" s="27">
        <v>0</v>
      </c>
      <c r="F17" s="14"/>
      <c r="G17" s="26" t="s">
        <v>63</v>
      </c>
      <c r="H17" s="27">
        <v>0</v>
      </c>
    </row>
    <row r="18" ht="14.25" customHeight="1" spans="1:8">
      <c r="A18" s="26" t="s">
        <v>64</v>
      </c>
      <c r="B18" s="27">
        <v>10</v>
      </c>
      <c r="F18" s="14"/>
      <c r="G18" s="26" t="s">
        <v>65</v>
      </c>
      <c r="H18" s="27">
        <v>10</v>
      </c>
    </row>
    <row r="19" ht="14.25" customHeight="1" spans="1:8">
      <c r="A19" s="26" t="s">
        <v>66</v>
      </c>
      <c r="B19" s="27">
        <v>0</v>
      </c>
      <c r="F19" s="14"/>
      <c r="G19" s="26" t="s">
        <v>67</v>
      </c>
      <c r="H19" s="27">
        <v>0</v>
      </c>
    </row>
    <row r="20" ht="14.25" customHeight="1" spans="1:8">
      <c r="A20" s="26" t="s">
        <v>68</v>
      </c>
      <c r="B20" s="28">
        <f>B15+B16+B17+B18</f>
        <v>10</v>
      </c>
      <c r="F20" s="14"/>
      <c r="G20" s="26" t="s">
        <v>69</v>
      </c>
      <c r="H20" s="27">
        <v>0</v>
      </c>
    </row>
    <row r="21" ht="14.25" customHeight="1" spans="1:8">
      <c r="F21" s="14"/>
      <c r="G21" s="26" t="s">
        <v>11</v>
      </c>
      <c r="H21" s="28">
        <f>H15+H16+H17+H18+H19+H20</f>
        <v>10</v>
      </c>
    </row>
    <row r="22" ht="14.25" customHeight="1" spans="1:8">
      <c r="A22" s="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G1"/>
    <mergeCell ref="A3:A12"/>
    <mergeCell ref="B3:B12"/>
    <mergeCell ref="C3:C6"/>
    <mergeCell ref="C7:C12"/>
    <mergeCell ref="C14:F21"/>
    <mergeCell ref="A22:K59"/>
    <mergeCell ref="L1:S59"/>
  </mergeCells>
  <pageMargins left="0.7" right="0.7" top="0.75" bottom="0.75" header="0" footer="0"/>
  <pageSetup paperSize="1" orientation="landscape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Execution Report</vt:lpstr>
      <vt:lpstr>Sheet1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asnab</dc:creator>
  <cp:lastModifiedBy>Diza Mathew</cp:lastModifiedBy>
  <dcterms:created xsi:type="dcterms:W3CDTF">2021-06-02T03:35:00Z</dcterms:created>
  <dcterms:modified xsi:type="dcterms:W3CDTF">2026-09-13T12:18:47Z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038E34EA33C643A284D65C94834E240D_13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